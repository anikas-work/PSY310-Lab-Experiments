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a\Desktop\University\Monsoon 2025\PSY310\Solo Project\"/>
    </mc:Choice>
  </mc:AlternateContent>
  <xr:revisionPtr revIDLastSave="0" documentId="8_{0ADDE598-6E62-4F27-B045-A51A8BD4A278}" xr6:coauthVersionLast="47" xr6:coauthVersionMax="47" xr10:uidLastSave="{00000000-0000-0000-0000-000000000000}"/>
  <bookViews>
    <workbookView xWindow="-108" yWindow="-108" windowWidth="23256" windowHeight="13176" activeTab="5" xr2:uid="{E11231F0-1372-47F6-9D3B-C3D4CCF05DA5}"/>
  </bookViews>
  <sheets>
    <sheet name="001" sheetId="1" r:id="rId1"/>
    <sheet name="002" sheetId="2" r:id="rId2"/>
    <sheet name="003" sheetId="3" r:id="rId3"/>
    <sheet name="004" sheetId="4" r:id="rId4"/>
    <sheet name="005" sheetId="5" r:id="rId5"/>
    <sheet name="Final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H3" i="5"/>
  <c r="H2" i="5"/>
  <c r="H3" i="4"/>
  <c r="H2" i="4"/>
  <c r="H3" i="3"/>
  <c r="H2" i="3"/>
  <c r="H3" i="2"/>
  <c r="H2" i="2"/>
</calcChain>
</file>

<file path=xl/sharedStrings.xml><?xml version="1.0" encoding="utf-8"?>
<sst xmlns="http://schemas.openxmlformats.org/spreadsheetml/2006/main" count="438" uniqueCount="100">
  <si>
    <t>Miasto</t>
  </si>
  <si>
    <t>City</t>
  </si>
  <si>
    <t>yes</t>
  </si>
  <si>
    <t xml:space="preserve">city
</t>
  </si>
  <si>
    <t>Rzeka</t>
  </si>
  <si>
    <t>River</t>
  </si>
  <si>
    <t>river</t>
  </si>
  <si>
    <t>Chmura</t>
  </si>
  <si>
    <t>Cloud</t>
  </si>
  <si>
    <t>cloud</t>
  </si>
  <si>
    <t>Sen</t>
  </si>
  <si>
    <t>Dream</t>
  </si>
  <si>
    <t>no</t>
  </si>
  <si>
    <t>dream</t>
  </si>
  <si>
    <t>Ptak</t>
  </si>
  <si>
    <t>Bird</t>
  </si>
  <si>
    <t xml:space="preserve">bird
</t>
  </si>
  <si>
    <t>Obraz</t>
  </si>
  <si>
    <t>Picture</t>
  </si>
  <si>
    <t>clock</t>
  </si>
  <si>
    <t>Kawa</t>
  </si>
  <si>
    <t>Coffee</t>
  </si>
  <si>
    <t>coffee</t>
  </si>
  <si>
    <t>Las</t>
  </si>
  <si>
    <t>Forest</t>
  </si>
  <si>
    <t xml:space="preserve">forest
</t>
  </si>
  <si>
    <t>Ciasto</t>
  </si>
  <si>
    <t>Cake</t>
  </si>
  <si>
    <t>cake</t>
  </si>
  <si>
    <t>Gwiazda</t>
  </si>
  <si>
    <t>Star</t>
  </si>
  <si>
    <t xml:space="preserve">star
</t>
  </si>
  <si>
    <t>Ulica</t>
  </si>
  <si>
    <t>Street</t>
  </si>
  <si>
    <t xml:space="preserve">street
</t>
  </si>
  <si>
    <t>Pociąg</t>
  </si>
  <si>
    <t>Train</t>
  </si>
  <si>
    <t>picture</t>
  </si>
  <si>
    <t>Morze</t>
  </si>
  <si>
    <t>Sea</t>
  </si>
  <si>
    <t>sea</t>
  </si>
  <si>
    <t>Okno</t>
  </si>
  <si>
    <t>Window</t>
  </si>
  <si>
    <t>Piosenka</t>
  </si>
  <si>
    <t>Song</t>
  </si>
  <si>
    <t>Kod</t>
  </si>
  <si>
    <t>Code</t>
  </si>
  <si>
    <t>code</t>
  </si>
  <si>
    <t>Deszcz</t>
  </si>
  <si>
    <t>Rain</t>
  </si>
  <si>
    <t xml:space="preserve">clock
</t>
  </si>
  <si>
    <t>Zegar</t>
  </si>
  <si>
    <t>Clock</t>
  </si>
  <si>
    <t>zilch</t>
  </si>
  <si>
    <t>Drzewo</t>
  </si>
  <si>
    <t>Tree</t>
  </si>
  <si>
    <t xml:space="preserve">window
</t>
  </si>
  <si>
    <t>Pies</t>
  </si>
  <si>
    <t>Dog</t>
  </si>
  <si>
    <t>dog</t>
  </si>
  <si>
    <t>hun_word</t>
  </si>
  <si>
    <t>eng_word</t>
  </si>
  <si>
    <t>response</t>
  </si>
  <si>
    <t>accuracy</t>
  </si>
  <si>
    <t>pre-tested</t>
  </si>
  <si>
    <t xml:space="preserve">Tree
</t>
  </si>
  <si>
    <t xml:space="preserve">Song
</t>
  </si>
  <si>
    <t xml:space="preserve">River
</t>
  </si>
  <si>
    <t xml:space="preserve">Dream
</t>
  </si>
  <si>
    <t xml:space="preserve">Dog
</t>
  </si>
  <si>
    <t xml:space="preserve">Cloud
</t>
  </si>
  <si>
    <t xml:space="preserve">rain
</t>
  </si>
  <si>
    <t xml:space="preserve">tree
</t>
  </si>
  <si>
    <t xml:space="preserve">sea
</t>
  </si>
  <si>
    <t xml:space="preserve">coffee
</t>
  </si>
  <si>
    <t>window</t>
  </si>
  <si>
    <t xml:space="preserve">forest </t>
  </si>
  <si>
    <t>city</t>
  </si>
  <si>
    <t xml:space="preserve">window
</t>
  </si>
  <si>
    <t xml:space="preserve">dog
</t>
  </si>
  <si>
    <t>wimdow</t>
  </si>
  <si>
    <t>tree</t>
  </si>
  <si>
    <t xml:space="preserve">
</t>
  </si>
  <si>
    <t xml:space="preserve">Coffee
</t>
  </si>
  <si>
    <t xml:space="preserve">Street
</t>
  </si>
  <si>
    <t xml:space="preserve">Sea
</t>
  </si>
  <si>
    <t>Bridge</t>
  </si>
  <si>
    <t>Sky</t>
  </si>
  <si>
    <t>Sing</t>
  </si>
  <si>
    <t>song</t>
  </si>
  <si>
    <t>rain</t>
  </si>
  <si>
    <t xml:space="preserve">music
</t>
  </si>
  <si>
    <t>train</t>
  </si>
  <si>
    <t>water</t>
  </si>
  <si>
    <t>road</t>
  </si>
  <si>
    <t>Accuracy for Pretested Words</t>
  </si>
  <si>
    <t>Accuracy for Untested Words</t>
  </si>
  <si>
    <t>Participant</t>
  </si>
  <si>
    <t>Accuracy_Pretested</t>
  </si>
  <si>
    <t>Accuracy_Untested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</si>
</sst>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A670-9E17-4B3C-BF28-5F99B3DB1640}">
  <dimension ref="A1:H21"/>
  <sheetViews>
    <sheetView workbookViewId="0">
      <selection activeCell="H4" sqref="H4"/>
    </sheetView>
  </sheetViews>
  <sheetFormatPr defaultRowHeight="14.4" x14ac:dyDescent="0.3"/>
  <cols>
    <col min="7" max="7" width="26.6640625" customWidth="1"/>
  </cols>
  <sheetData>
    <row r="1" spans="1:8" x14ac:dyDescent="0.3">
      <c r="A1" t="s">
        <v>60</v>
      </c>
      <c r="B1" t="s">
        <v>61</v>
      </c>
      <c r="C1" t="s">
        <v>64</v>
      </c>
      <c r="D1" t="s">
        <v>62</v>
      </c>
      <c r="E1" t="s">
        <v>63</v>
      </c>
    </row>
    <row r="2" spans="1:8" ht="28.8" x14ac:dyDescent="0.3">
      <c r="A2" t="s">
        <v>0</v>
      </c>
      <c r="B2" t="s">
        <v>1</v>
      </c>
      <c r="C2" t="s">
        <v>2</v>
      </c>
      <c r="D2" s="1" t="s">
        <v>3</v>
      </c>
      <c r="E2">
        <v>1</v>
      </c>
      <c r="G2" t="s">
        <v>95</v>
      </c>
      <c r="H2">
        <f>7/10</f>
        <v>0.7</v>
      </c>
    </row>
    <row r="3" spans="1:8" x14ac:dyDescent="0.3">
      <c r="A3" t="s">
        <v>4</v>
      </c>
      <c r="B3" t="s">
        <v>5</v>
      </c>
      <c r="C3" t="s">
        <v>2</v>
      </c>
      <c r="D3" t="s">
        <v>6</v>
      </c>
      <c r="E3">
        <v>1</v>
      </c>
      <c r="G3" t="s">
        <v>96</v>
      </c>
      <c r="H3">
        <f>6/10</f>
        <v>0.6</v>
      </c>
    </row>
    <row r="4" spans="1:8" x14ac:dyDescent="0.3">
      <c r="A4" t="s">
        <v>7</v>
      </c>
      <c r="B4" t="s">
        <v>8</v>
      </c>
      <c r="C4" t="s">
        <v>2</v>
      </c>
      <c r="D4" t="s">
        <v>9</v>
      </c>
      <c r="E4">
        <v>1</v>
      </c>
    </row>
    <row r="5" spans="1:8" x14ac:dyDescent="0.3">
      <c r="A5" t="s">
        <v>10</v>
      </c>
      <c r="B5" t="s">
        <v>11</v>
      </c>
      <c r="C5" t="s">
        <v>12</v>
      </c>
      <c r="D5" t="s">
        <v>13</v>
      </c>
      <c r="E5">
        <v>1</v>
      </c>
    </row>
    <row r="6" spans="1:8" ht="28.8" x14ac:dyDescent="0.3">
      <c r="A6" t="s">
        <v>14</v>
      </c>
      <c r="B6" t="s">
        <v>15</v>
      </c>
      <c r="C6" t="s">
        <v>12</v>
      </c>
      <c r="D6" s="1" t="s">
        <v>16</v>
      </c>
      <c r="E6">
        <v>1</v>
      </c>
    </row>
    <row r="7" spans="1:8" x14ac:dyDescent="0.3">
      <c r="A7" t="s">
        <v>17</v>
      </c>
      <c r="B7" t="s">
        <v>18</v>
      </c>
      <c r="C7" t="s">
        <v>12</v>
      </c>
      <c r="D7" t="s">
        <v>19</v>
      </c>
      <c r="E7">
        <v>0</v>
      </c>
    </row>
    <row r="8" spans="1:8" x14ac:dyDescent="0.3">
      <c r="A8" t="s">
        <v>20</v>
      </c>
      <c r="B8" t="s">
        <v>21</v>
      </c>
      <c r="C8" t="s">
        <v>12</v>
      </c>
      <c r="D8" t="s">
        <v>22</v>
      </c>
      <c r="E8">
        <v>1</v>
      </c>
    </row>
    <row r="9" spans="1:8" ht="28.8" x14ac:dyDescent="0.3">
      <c r="A9" t="s">
        <v>23</v>
      </c>
      <c r="B9" t="s">
        <v>24</v>
      </c>
      <c r="C9" t="s">
        <v>12</v>
      </c>
      <c r="D9" s="1" t="s">
        <v>25</v>
      </c>
      <c r="E9">
        <v>1</v>
      </c>
    </row>
    <row r="10" spans="1:8" x14ac:dyDescent="0.3">
      <c r="A10" t="s">
        <v>26</v>
      </c>
      <c r="B10" t="s">
        <v>27</v>
      </c>
      <c r="C10" t="s">
        <v>12</v>
      </c>
      <c r="D10" t="s">
        <v>28</v>
      </c>
      <c r="E10">
        <v>1</v>
      </c>
    </row>
    <row r="11" spans="1:8" ht="28.8" x14ac:dyDescent="0.3">
      <c r="A11" t="s">
        <v>29</v>
      </c>
      <c r="B11" t="s">
        <v>30</v>
      </c>
      <c r="C11" t="s">
        <v>2</v>
      </c>
      <c r="D11" s="1" t="s">
        <v>31</v>
      </c>
      <c r="E11">
        <v>1</v>
      </c>
    </row>
    <row r="12" spans="1:8" ht="43.2" x14ac:dyDescent="0.3">
      <c r="A12" t="s">
        <v>32</v>
      </c>
      <c r="B12" t="s">
        <v>33</v>
      </c>
      <c r="C12" t="s">
        <v>12</v>
      </c>
      <c r="D12" s="1" t="s">
        <v>34</v>
      </c>
      <c r="E12">
        <v>1</v>
      </c>
    </row>
    <row r="13" spans="1:8" x14ac:dyDescent="0.3">
      <c r="A13" t="s">
        <v>35</v>
      </c>
      <c r="B13" t="s">
        <v>36</v>
      </c>
      <c r="C13" t="s">
        <v>12</v>
      </c>
      <c r="D13" t="s">
        <v>37</v>
      </c>
      <c r="E13">
        <v>0</v>
      </c>
    </row>
    <row r="14" spans="1:8" x14ac:dyDescent="0.3">
      <c r="A14" t="s">
        <v>38</v>
      </c>
      <c r="B14" t="s">
        <v>39</v>
      </c>
      <c r="C14" t="s">
        <v>2</v>
      </c>
      <c r="D14" t="s">
        <v>40</v>
      </c>
      <c r="E14">
        <v>1</v>
      </c>
    </row>
    <row r="15" spans="1:8" x14ac:dyDescent="0.3">
      <c r="A15" t="s">
        <v>41</v>
      </c>
      <c r="B15" t="s">
        <v>42</v>
      </c>
      <c r="C15" t="s">
        <v>2</v>
      </c>
      <c r="D15" t="s">
        <v>19</v>
      </c>
      <c r="E15">
        <v>0</v>
      </c>
    </row>
    <row r="16" spans="1:8" x14ac:dyDescent="0.3">
      <c r="A16" t="s">
        <v>43</v>
      </c>
      <c r="B16" t="s">
        <v>44</v>
      </c>
      <c r="C16" t="s">
        <v>2</v>
      </c>
      <c r="D16" t="s">
        <v>37</v>
      </c>
      <c r="E16">
        <v>0</v>
      </c>
    </row>
    <row r="17" spans="1:5" x14ac:dyDescent="0.3">
      <c r="A17" t="s">
        <v>45</v>
      </c>
      <c r="B17" t="s">
        <v>46</v>
      </c>
      <c r="C17" t="s">
        <v>2</v>
      </c>
      <c r="D17" t="s">
        <v>47</v>
      </c>
      <c r="E17">
        <v>1</v>
      </c>
    </row>
    <row r="18" spans="1:5" ht="28.8" x14ac:dyDescent="0.3">
      <c r="A18" t="s">
        <v>48</v>
      </c>
      <c r="B18" t="s">
        <v>49</v>
      </c>
      <c r="C18" t="s">
        <v>2</v>
      </c>
      <c r="D18" s="1" t="s">
        <v>50</v>
      </c>
      <c r="E18">
        <v>0</v>
      </c>
    </row>
    <row r="19" spans="1:5" x14ac:dyDescent="0.3">
      <c r="A19" t="s">
        <v>51</v>
      </c>
      <c r="B19" t="s">
        <v>52</v>
      </c>
      <c r="C19" t="s">
        <v>12</v>
      </c>
      <c r="D19" t="s">
        <v>53</v>
      </c>
      <c r="E19">
        <v>0</v>
      </c>
    </row>
    <row r="20" spans="1:5" ht="28.8" x14ac:dyDescent="0.3">
      <c r="A20" t="s">
        <v>54</v>
      </c>
      <c r="B20" t="s">
        <v>55</v>
      </c>
      <c r="C20" t="s">
        <v>12</v>
      </c>
      <c r="D20" s="1" t="s">
        <v>56</v>
      </c>
      <c r="E20">
        <v>0</v>
      </c>
    </row>
    <row r="21" spans="1:5" x14ac:dyDescent="0.3">
      <c r="A21" t="s">
        <v>57</v>
      </c>
      <c r="B21" t="s">
        <v>58</v>
      </c>
      <c r="C21" t="s">
        <v>2</v>
      </c>
      <c r="D21" t="s">
        <v>59</v>
      </c>
      <c r="E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AA1A-FE9B-4ECB-B550-8556DD7DFD46}">
  <dimension ref="A1:H21"/>
  <sheetViews>
    <sheetView workbookViewId="0">
      <selection activeCell="G2" sqref="G2:G3"/>
    </sheetView>
  </sheetViews>
  <sheetFormatPr defaultRowHeight="14.4" x14ac:dyDescent="0.3"/>
  <cols>
    <col min="7" max="7" width="25.109375" customWidth="1"/>
  </cols>
  <sheetData>
    <row r="1" spans="1:8" x14ac:dyDescent="0.3">
      <c r="A1" t="s">
        <v>60</v>
      </c>
      <c r="B1" t="s">
        <v>61</v>
      </c>
      <c r="C1" t="s">
        <v>64</v>
      </c>
      <c r="D1" t="s">
        <v>62</v>
      </c>
      <c r="E1" t="s">
        <v>63</v>
      </c>
    </row>
    <row r="2" spans="1:8" x14ac:dyDescent="0.3">
      <c r="A2" t="s">
        <v>41</v>
      </c>
      <c r="B2" t="s">
        <v>42</v>
      </c>
      <c r="C2" t="s">
        <v>2</v>
      </c>
      <c r="D2" t="s">
        <v>42</v>
      </c>
      <c r="E2">
        <v>1</v>
      </c>
      <c r="G2" t="s">
        <v>95</v>
      </c>
      <c r="H2">
        <f>7/10</f>
        <v>0.7</v>
      </c>
    </row>
    <row r="3" spans="1:8" x14ac:dyDescent="0.3">
      <c r="A3" t="s">
        <v>0</v>
      </c>
      <c r="B3" t="s">
        <v>1</v>
      </c>
      <c r="C3" t="s">
        <v>2</v>
      </c>
      <c r="D3" t="s">
        <v>1</v>
      </c>
      <c r="E3">
        <v>1</v>
      </c>
      <c r="G3" t="s">
        <v>96</v>
      </c>
      <c r="H3">
        <f>4/10</f>
        <v>0.4</v>
      </c>
    </row>
    <row r="4" spans="1:8" x14ac:dyDescent="0.3">
      <c r="A4" t="s">
        <v>20</v>
      </c>
      <c r="B4" t="s">
        <v>21</v>
      </c>
      <c r="C4" t="s">
        <v>12</v>
      </c>
      <c r="D4" t="s">
        <v>21</v>
      </c>
      <c r="E4">
        <v>1</v>
      </c>
    </row>
    <row r="5" spans="1:8" x14ac:dyDescent="0.3">
      <c r="A5" t="s">
        <v>17</v>
      </c>
      <c r="B5" t="s">
        <v>18</v>
      </c>
      <c r="C5" t="s">
        <v>12</v>
      </c>
      <c r="D5" t="s">
        <v>55</v>
      </c>
      <c r="E5">
        <v>0</v>
      </c>
    </row>
    <row r="6" spans="1:8" x14ac:dyDescent="0.3">
      <c r="A6" t="s">
        <v>45</v>
      </c>
      <c r="B6" t="s">
        <v>46</v>
      </c>
      <c r="C6" t="s">
        <v>2</v>
      </c>
      <c r="D6" t="s">
        <v>46</v>
      </c>
      <c r="E6">
        <v>1</v>
      </c>
    </row>
    <row r="7" spans="1:8" ht="28.8" x14ac:dyDescent="0.3">
      <c r="A7" t="s">
        <v>14</v>
      </c>
      <c r="B7" t="s">
        <v>15</v>
      </c>
      <c r="C7" t="s">
        <v>12</v>
      </c>
      <c r="D7" s="1" t="s">
        <v>65</v>
      </c>
      <c r="E7">
        <v>0</v>
      </c>
    </row>
    <row r="8" spans="1:8" x14ac:dyDescent="0.3">
      <c r="A8" t="s">
        <v>32</v>
      </c>
      <c r="B8" t="s">
        <v>33</v>
      </c>
      <c r="C8" t="s">
        <v>12</v>
      </c>
      <c r="D8" t="s">
        <v>33</v>
      </c>
      <c r="E8">
        <v>1</v>
      </c>
    </row>
    <row r="9" spans="1:8" x14ac:dyDescent="0.3">
      <c r="A9" t="s">
        <v>29</v>
      </c>
      <c r="B9" t="s">
        <v>30</v>
      </c>
      <c r="C9" t="s">
        <v>2</v>
      </c>
      <c r="D9" t="s">
        <v>30</v>
      </c>
      <c r="E9">
        <v>1</v>
      </c>
    </row>
    <row r="10" spans="1:8" ht="28.8" x14ac:dyDescent="0.3">
      <c r="A10" t="s">
        <v>7</v>
      </c>
      <c r="B10" t="s">
        <v>8</v>
      </c>
      <c r="C10" t="s">
        <v>2</v>
      </c>
      <c r="D10" s="1" t="s">
        <v>65</v>
      </c>
      <c r="E10">
        <v>0</v>
      </c>
    </row>
    <row r="11" spans="1:8" ht="28.8" x14ac:dyDescent="0.3">
      <c r="A11" t="s">
        <v>43</v>
      </c>
      <c r="B11" t="s">
        <v>44</v>
      </c>
      <c r="C11" t="s">
        <v>2</v>
      </c>
      <c r="D11" s="1" t="s">
        <v>66</v>
      </c>
      <c r="E11">
        <v>1</v>
      </c>
    </row>
    <row r="12" spans="1:8" x14ac:dyDescent="0.3">
      <c r="A12" t="s">
        <v>54</v>
      </c>
      <c r="B12" t="s">
        <v>55</v>
      </c>
      <c r="C12" t="s">
        <v>12</v>
      </c>
      <c r="D12" t="s">
        <v>55</v>
      </c>
      <c r="E12">
        <v>1</v>
      </c>
    </row>
    <row r="13" spans="1:8" ht="28.8" x14ac:dyDescent="0.3">
      <c r="A13" t="s">
        <v>10</v>
      </c>
      <c r="B13" t="s">
        <v>11</v>
      </c>
      <c r="C13" t="s">
        <v>12</v>
      </c>
      <c r="D13" s="1" t="s">
        <v>67</v>
      </c>
      <c r="E13">
        <v>0</v>
      </c>
    </row>
    <row r="14" spans="1:8" ht="28.8" x14ac:dyDescent="0.3">
      <c r="A14" t="s">
        <v>23</v>
      </c>
      <c r="B14" t="s">
        <v>24</v>
      </c>
      <c r="C14" t="s">
        <v>12</v>
      </c>
      <c r="D14" s="1" t="s">
        <v>68</v>
      </c>
      <c r="E14">
        <v>0</v>
      </c>
    </row>
    <row r="15" spans="1:8" x14ac:dyDescent="0.3">
      <c r="A15" t="s">
        <v>51</v>
      </c>
      <c r="B15" t="s">
        <v>52</v>
      </c>
      <c r="C15" t="s">
        <v>12</v>
      </c>
      <c r="D15" t="s">
        <v>9</v>
      </c>
      <c r="E15">
        <v>0</v>
      </c>
    </row>
    <row r="16" spans="1:8" x14ac:dyDescent="0.3">
      <c r="A16" t="s">
        <v>48</v>
      </c>
      <c r="B16" t="s">
        <v>49</v>
      </c>
      <c r="C16" t="s">
        <v>2</v>
      </c>
      <c r="D16" t="s">
        <v>11</v>
      </c>
      <c r="E16">
        <v>0</v>
      </c>
    </row>
    <row r="17" spans="1:5" ht="28.8" x14ac:dyDescent="0.3">
      <c r="A17" t="s">
        <v>57</v>
      </c>
      <c r="B17" t="s">
        <v>58</v>
      </c>
      <c r="C17" t="s">
        <v>2</v>
      </c>
      <c r="D17" s="1" t="s">
        <v>69</v>
      </c>
      <c r="E17">
        <v>1</v>
      </c>
    </row>
    <row r="18" spans="1:5" x14ac:dyDescent="0.3">
      <c r="A18" t="s">
        <v>35</v>
      </c>
      <c r="B18" t="s">
        <v>36</v>
      </c>
      <c r="C18" t="s">
        <v>12</v>
      </c>
      <c r="D18" t="s">
        <v>36</v>
      </c>
      <c r="E18">
        <v>1</v>
      </c>
    </row>
    <row r="19" spans="1:5" x14ac:dyDescent="0.3">
      <c r="A19" t="s">
        <v>4</v>
      </c>
      <c r="B19" t="s">
        <v>5</v>
      </c>
      <c r="C19" t="s">
        <v>2</v>
      </c>
      <c r="D19" t="s">
        <v>5</v>
      </c>
      <c r="E19">
        <v>1</v>
      </c>
    </row>
    <row r="20" spans="1:5" ht="28.8" x14ac:dyDescent="0.3">
      <c r="A20" t="s">
        <v>26</v>
      </c>
      <c r="B20" t="s">
        <v>27</v>
      </c>
      <c r="C20" t="s">
        <v>12</v>
      </c>
      <c r="D20" s="1" t="s">
        <v>70</v>
      </c>
      <c r="E20">
        <v>0</v>
      </c>
    </row>
    <row r="21" spans="1:5" ht="28.8" x14ac:dyDescent="0.3">
      <c r="A21" t="s">
        <v>38</v>
      </c>
      <c r="B21" t="s">
        <v>39</v>
      </c>
      <c r="C21" t="s">
        <v>2</v>
      </c>
      <c r="D21" s="1" t="s">
        <v>71</v>
      </c>
      <c r="E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856E-47DA-481D-B079-9107D00CE523}">
  <dimension ref="A1:H21"/>
  <sheetViews>
    <sheetView workbookViewId="0">
      <selection activeCell="H4" sqref="H4"/>
    </sheetView>
  </sheetViews>
  <sheetFormatPr defaultRowHeight="14.4" x14ac:dyDescent="0.3"/>
  <cols>
    <col min="7" max="7" width="25.77734375" customWidth="1"/>
  </cols>
  <sheetData>
    <row r="1" spans="1:8" x14ac:dyDescent="0.3">
      <c r="A1" t="s">
        <v>60</v>
      </c>
      <c r="B1" t="s">
        <v>61</v>
      </c>
      <c r="C1" t="s">
        <v>64</v>
      </c>
      <c r="D1" t="s">
        <v>62</v>
      </c>
      <c r="E1" t="s">
        <v>63</v>
      </c>
    </row>
    <row r="2" spans="1:8" x14ac:dyDescent="0.3">
      <c r="A2" t="s">
        <v>32</v>
      </c>
      <c r="B2" t="s">
        <v>33</v>
      </c>
      <c r="C2" t="s">
        <v>12</v>
      </c>
      <c r="D2" t="s">
        <v>6</v>
      </c>
      <c r="E2">
        <v>0</v>
      </c>
      <c r="G2" t="s">
        <v>95</v>
      </c>
      <c r="H2">
        <f>5/10</f>
        <v>0.5</v>
      </c>
    </row>
    <row r="3" spans="1:8" x14ac:dyDescent="0.3">
      <c r="A3" t="s">
        <v>17</v>
      </c>
      <c r="B3" t="s">
        <v>18</v>
      </c>
      <c r="C3" t="s">
        <v>12</v>
      </c>
      <c r="D3" t="s">
        <v>37</v>
      </c>
      <c r="E3">
        <v>1</v>
      </c>
      <c r="G3" t="s">
        <v>96</v>
      </c>
      <c r="H3">
        <f>2/10</f>
        <v>0.2</v>
      </c>
    </row>
    <row r="4" spans="1:8" ht="28.8" x14ac:dyDescent="0.3">
      <c r="A4" t="s">
        <v>14</v>
      </c>
      <c r="B4" t="s">
        <v>15</v>
      </c>
      <c r="C4" t="s">
        <v>12</v>
      </c>
      <c r="D4" s="1" t="s">
        <v>72</v>
      </c>
      <c r="E4">
        <v>0</v>
      </c>
    </row>
    <row r="5" spans="1:8" ht="28.8" x14ac:dyDescent="0.3">
      <c r="A5" t="s">
        <v>43</v>
      </c>
      <c r="B5" t="s">
        <v>44</v>
      </c>
      <c r="C5" t="s">
        <v>2</v>
      </c>
      <c r="D5" s="1" t="s">
        <v>71</v>
      </c>
      <c r="E5">
        <v>0</v>
      </c>
    </row>
    <row r="6" spans="1:8" x14ac:dyDescent="0.3">
      <c r="A6" t="s">
        <v>45</v>
      </c>
      <c r="B6" t="s">
        <v>46</v>
      </c>
      <c r="C6" t="s">
        <v>2</v>
      </c>
      <c r="D6" t="s">
        <v>47</v>
      </c>
      <c r="E6">
        <v>1</v>
      </c>
    </row>
    <row r="7" spans="1:8" x14ac:dyDescent="0.3">
      <c r="A7" t="s">
        <v>10</v>
      </c>
      <c r="B7" t="s">
        <v>11</v>
      </c>
      <c r="C7" t="s">
        <v>12</v>
      </c>
      <c r="D7" t="s">
        <v>13</v>
      </c>
      <c r="E7">
        <v>1</v>
      </c>
    </row>
    <row r="8" spans="1:8" ht="28.8" x14ac:dyDescent="0.3">
      <c r="A8" t="s">
        <v>38</v>
      </c>
      <c r="B8" t="s">
        <v>39</v>
      </c>
      <c r="C8" t="s">
        <v>2</v>
      </c>
      <c r="D8" s="1" t="s">
        <v>73</v>
      </c>
      <c r="E8">
        <v>1</v>
      </c>
    </row>
    <row r="9" spans="1:8" ht="28.8" x14ac:dyDescent="0.3">
      <c r="A9" t="s">
        <v>35</v>
      </c>
      <c r="B9" t="s">
        <v>36</v>
      </c>
      <c r="C9" t="s">
        <v>12</v>
      </c>
      <c r="D9" s="1" t="s">
        <v>74</v>
      </c>
      <c r="E9">
        <v>0</v>
      </c>
    </row>
    <row r="10" spans="1:8" x14ac:dyDescent="0.3">
      <c r="A10" t="s">
        <v>26</v>
      </c>
      <c r="B10" t="s">
        <v>27</v>
      </c>
      <c r="C10" t="s">
        <v>12</v>
      </c>
      <c r="D10" t="s">
        <v>40</v>
      </c>
      <c r="E10">
        <v>0</v>
      </c>
    </row>
    <row r="11" spans="1:8" x14ac:dyDescent="0.3">
      <c r="A11" t="s">
        <v>54</v>
      </c>
      <c r="B11" t="s">
        <v>55</v>
      </c>
      <c r="C11" t="s">
        <v>12</v>
      </c>
      <c r="D11" t="s">
        <v>75</v>
      </c>
      <c r="E11">
        <v>0</v>
      </c>
    </row>
    <row r="12" spans="1:8" x14ac:dyDescent="0.3">
      <c r="A12" t="s">
        <v>20</v>
      </c>
      <c r="B12" t="s">
        <v>21</v>
      </c>
      <c r="C12" t="s">
        <v>12</v>
      </c>
      <c r="D12" t="s">
        <v>76</v>
      </c>
      <c r="E12">
        <v>0</v>
      </c>
    </row>
    <row r="13" spans="1:8" x14ac:dyDescent="0.3">
      <c r="A13" t="s">
        <v>48</v>
      </c>
      <c r="B13" t="s">
        <v>49</v>
      </c>
      <c r="C13" t="s">
        <v>2</v>
      </c>
      <c r="D13" t="s">
        <v>77</v>
      </c>
      <c r="E13">
        <v>0</v>
      </c>
    </row>
    <row r="14" spans="1:8" ht="28.8" x14ac:dyDescent="0.3">
      <c r="A14" t="s">
        <v>4</v>
      </c>
      <c r="B14" t="s">
        <v>5</v>
      </c>
      <c r="C14" t="s">
        <v>2</v>
      </c>
      <c r="D14" s="1" t="s">
        <v>3</v>
      </c>
      <c r="E14">
        <v>0</v>
      </c>
    </row>
    <row r="15" spans="1:8" ht="43.2" x14ac:dyDescent="0.3">
      <c r="A15" t="s">
        <v>29</v>
      </c>
      <c r="B15" t="s">
        <v>30</v>
      </c>
      <c r="C15" t="s">
        <v>2</v>
      </c>
      <c r="D15" s="1" t="s">
        <v>78</v>
      </c>
      <c r="E15">
        <v>0</v>
      </c>
    </row>
    <row r="16" spans="1:8" x14ac:dyDescent="0.3">
      <c r="A16" t="s">
        <v>0</v>
      </c>
      <c r="B16" t="s">
        <v>1</v>
      </c>
      <c r="C16" t="s">
        <v>2</v>
      </c>
      <c r="D16" t="s">
        <v>77</v>
      </c>
      <c r="E16">
        <v>1</v>
      </c>
    </row>
    <row r="17" spans="1:5" ht="28.8" x14ac:dyDescent="0.3">
      <c r="A17" t="s">
        <v>57</v>
      </c>
      <c r="B17" t="s">
        <v>58</v>
      </c>
      <c r="C17" t="s">
        <v>2</v>
      </c>
      <c r="D17" s="1" t="s">
        <v>79</v>
      </c>
      <c r="E17">
        <v>1</v>
      </c>
    </row>
    <row r="18" spans="1:5" x14ac:dyDescent="0.3">
      <c r="A18" t="s">
        <v>41</v>
      </c>
      <c r="B18" t="s">
        <v>42</v>
      </c>
      <c r="C18" t="s">
        <v>2</v>
      </c>
      <c r="D18" t="s">
        <v>80</v>
      </c>
      <c r="E18">
        <v>1</v>
      </c>
    </row>
    <row r="19" spans="1:5" x14ac:dyDescent="0.3">
      <c r="A19" t="s">
        <v>7</v>
      </c>
      <c r="B19" t="s">
        <v>8</v>
      </c>
      <c r="C19" t="s">
        <v>2</v>
      </c>
      <c r="D19" t="s">
        <v>81</v>
      </c>
      <c r="E19">
        <v>0</v>
      </c>
    </row>
    <row r="20" spans="1:5" x14ac:dyDescent="0.3">
      <c r="A20" t="s">
        <v>51</v>
      </c>
      <c r="B20" t="s">
        <v>52</v>
      </c>
      <c r="C20" t="s">
        <v>12</v>
      </c>
      <c r="D20" t="s">
        <v>81</v>
      </c>
      <c r="E20">
        <v>0</v>
      </c>
    </row>
    <row r="21" spans="1:5" ht="28.8" x14ac:dyDescent="0.3">
      <c r="A21" t="s">
        <v>23</v>
      </c>
      <c r="B21" t="s">
        <v>24</v>
      </c>
      <c r="C21" t="s">
        <v>12</v>
      </c>
      <c r="D21" s="1" t="s">
        <v>82</v>
      </c>
      <c r="E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E921-4509-4275-8345-B9C82D58AC81}">
  <dimension ref="A1:H21"/>
  <sheetViews>
    <sheetView workbookViewId="0">
      <selection activeCell="H4" sqref="H4"/>
    </sheetView>
  </sheetViews>
  <sheetFormatPr defaultRowHeight="14.4" x14ac:dyDescent="0.3"/>
  <cols>
    <col min="7" max="7" width="26" customWidth="1"/>
  </cols>
  <sheetData>
    <row r="1" spans="1:8" x14ac:dyDescent="0.3">
      <c r="A1" t="s">
        <v>60</v>
      </c>
      <c r="B1" t="s">
        <v>61</v>
      </c>
      <c r="C1" t="s">
        <v>64</v>
      </c>
      <c r="D1" t="s">
        <v>62</v>
      </c>
      <c r="E1" t="s">
        <v>63</v>
      </c>
    </row>
    <row r="2" spans="1:8" ht="28.8" x14ac:dyDescent="0.3">
      <c r="A2" t="s">
        <v>20</v>
      </c>
      <c r="B2" t="s">
        <v>21</v>
      </c>
      <c r="C2" t="s">
        <v>12</v>
      </c>
      <c r="D2" s="1" t="s">
        <v>83</v>
      </c>
      <c r="E2">
        <v>1</v>
      </c>
      <c r="G2" t="s">
        <v>95</v>
      </c>
      <c r="H2">
        <f>7/10</f>
        <v>0.7</v>
      </c>
    </row>
    <row r="3" spans="1:8" x14ac:dyDescent="0.3">
      <c r="A3" t="s">
        <v>26</v>
      </c>
      <c r="B3" t="s">
        <v>27</v>
      </c>
      <c r="C3" t="s">
        <v>12</v>
      </c>
      <c r="D3" t="s">
        <v>27</v>
      </c>
      <c r="E3">
        <v>1</v>
      </c>
      <c r="G3" t="s">
        <v>96</v>
      </c>
      <c r="H3">
        <f>8/10</f>
        <v>0.8</v>
      </c>
    </row>
    <row r="4" spans="1:8" x14ac:dyDescent="0.3">
      <c r="A4" t="s">
        <v>57</v>
      </c>
      <c r="B4" t="s">
        <v>58</v>
      </c>
      <c r="C4" t="s">
        <v>2</v>
      </c>
      <c r="D4" t="s">
        <v>58</v>
      </c>
      <c r="E4">
        <v>1</v>
      </c>
    </row>
    <row r="5" spans="1:8" x14ac:dyDescent="0.3">
      <c r="A5" t="s">
        <v>14</v>
      </c>
      <c r="B5" t="s">
        <v>15</v>
      </c>
      <c r="C5" t="s">
        <v>12</v>
      </c>
      <c r="D5" t="s">
        <v>15</v>
      </c>
      <c r="E5">
        <v>1</v>
      </c>
    </row>
    <row r="6" spans="1:8" ht="28.8" x14ac:dyDescent="0.3">
      <c r="A6" t="s">
        <v>32</v>
      </c>
      <c r="B6" t="s">
        <v>33</v>
      </c>
      <c r="C6" t="s">
        <v>12</v>
      </c>
      <c r="D6" s="1" t="s">
        <v>84</v>
      </c>
      <c r="E6">
        <v>1</v>
      </c>
    </row>
    <row r="7" spans="1:8" x14ac:dyDescent="0.3">
      <c r="A7" t="s">
        <v>7</v>
      </c>
      <c r="B7" t="s">
        <v>8</v>
      </c>
      <c r="C7" t="s">
        <v>2</v>
      </c>
      <c r="D7" t="s">
        <v>8</v>
      </c>
      <c r="E7">
        <v>1</v>
      </c>
    </row>
    <row r="8" spans="1:8" x14ac:dyDescent="0.3">
      <c r="A8" t="s">
        <v>4</v>
      </c>
      <c r="B8" t="s">
        <v>5</v>
      </c>
      <c r="C8" t="s">
        <v>2</v>
      </c>
      <c r="D8" t="s">
        <v>5</v>
      </c>
      <c r="E8">
        <v>1</v>
      </c>
    </row>
    <row r="9" spans="1:8" ht="28.8" x14ac:dyDescent="0.3">
      <c r="A9" t="s">
        <v>38</v>
      </c>
      <c r="B9" t="s">
        <v>39</v>
      </c>
      <c r="C9" t="s">
        <v>2</v>
      </c>
      <c r="D9" s="1" t="s">
        <v>85</v>
      </c>
      <c r="E9">
        <v>1</v>
      </c>
    </row>
    <row r="10" spans="1:8" x14ac:dyDescent="0.3">
      <c r="A10" t="s">
        <v>0</v>
      </c>
      <c r="B10" t="s">
        <v>1</v>
      </c>
      <c r="C10" t="s">
        <v>2</v>
      </c>
      <c r="D10" t="s">
        <v>1</v>
      </c>
      <c r="E10">
        <v>1</v>
      </c>
    </row>
    <row r="11" spans="1:8" x14ac:dyDescent="0.3">
      <c r="A11" t="s">
        <v>29</v>
      </c>
      <c r="B11" t="s">
        <v>30</v>
      </c>
      <c r="C11" t="s">
        <v>2</v>
      </c>
      <c r="D11" t="s">
        <v>86</v>
      </c>
      <c r="E11">
        <v>0</v>
      </c>
    </row>
    <row r="12" spans="1:8" x14ac:dyDescent="0.3">
      <c r="A12" t="s">
        <v>23</v>
      </c>
      <c r="B12" t="s">
        <v>24</v>
      </c>
      <c r="C12" t="s">
        <v>12</v>
      </c>
      <c r="D12" t="s">
        <v>87</v>
      </c>
      <c r="E12">
        <v>0</v>
      </c>
    </row>
    <row r="13" spans="1:8" x14ac:dyDescent="0.3">
      <c r="A13" t="s">
        <v>17</v>
      </c>
      <c r="B13" t="s">
        <v>18</v>
      </c>
      <c r="C13" t="s">
        <v>12</v>
      </c>
      <c r="D13" t="s">
        <v>18</v>
      </c>
      <c r="E13">
        <v>1</v>
      </c>
    </row>
    <row r="14" spans="1:8" x14ac:dyDescent="0.3">
      <c r="A14" t="s">
        <v>43</v>
      </c>
      <c r="B14" t="s">
        <v>44</v>
      </c>
      <c r="C14" t="s">
        <v>2</v>
      </c>
      <c r="D14" t="s">
        <v>88</v>
      </c>
      <c r="E14">
        <v>0</v>
      </c>
    </row>
    <row r="15" spans="1:8" x14ac:dyDescent="0.3">
      <c r="A15" t="s">
        <v>10</v>
      </c>
      <c r="B15" t="s">
        <v>11</v>
      </c>
      <c r="C15" t="s">
        <v>12</v>
      </c>
      <c r="D15" t="s">
        <v>13</v>
      </c>
      <c r="E15">
        <v>1</v>
      </c>
    </row>
    <row r="16" spans="1:8" x14ac:dyDescent="0.3">
      <c r="A16" t="s">
        <v>41</v>
      </c>
      <c r="B16" t="s">
        <v>42</v>
      </c>
      <c r="C16" t="s">
        <v>2</v>
      </c>
      <c r="D16" t="s">
        <v>87</v>
      </c>
      <c r="E16">
        <v>0</v>
      </c>
    </row>
    <row r="17" spans="1:5" x14ac:dyDescent="0.3">
      <c r="A17" t="s">
        <v>54</v>
      </c>
      <c r="B17" t="s">
        <v>55</v>
      </c>
      <c r="C17" t="s">
        <v>12</v>
      </c>
      <c r="D17" t="s">
        <v>55</v>
      </c>
      <c r="E17">
        <v>1</v>
      </c>
    </row>
    <row r="18" spans="1:5" x14ac:dyDescent="0.3">
      <c r="A18" t="s">
        <v>35</v>
      </c>
      <c r="B18" t="s">
        <v>36</v>
      </c>
      <c r="C18" t="s">
        <v>12</v>
      </c>
      <c r="D18" t="s">
        <v>86</v>
      </c>
      <c r="E18">
        <v>0</v>
      </c>
    </row>
    <row r="19" spans="1:5" x14ac:dyDescent="0.3">
      <c r="A19" t="s">
        <v>45</v>
      </c>
      <c r="B19" t="s">
        <v>46</v>
      </c>
      <c r="C19" t="s">
        <v>2</v>
      </c>
      <c r="D19" t="s">
        <v>46</v>
      </c>
      <c r="E19">
        <v>1</v>
      </c>
    </row>
    <row r="20" spans="1:5" x14ac:dyDescent="0.3">
      <c r="A20" t="s">
        <v>51</v>
      </c>
      <c r="B20" t="s">
        <v>52</v>
      </c>
      <c r="C20" t="s">
        <v>12</v>
      </c>
      <c r="D20" t="s">
        <v>52</v>
      </c>
      <c r="E20">
        <v>1</v>
      </c>
    </row>
    <row r="21" spans="1:5" x14ac:dyDescent="0.3">
      <c r="A21" t="s">
        <v>48</v>
      </c>
      <c r="B21" t="s">
        <v>49</v>
      </c>
      <c r="C21" t="s">
        <v>2</v>
      </c>
      <c r="D21" t="s">
        <v>49</v>
      </c>
      <c r="E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C6C1-793B-4D58-914C-009DB4974348}">
  <dimension ref="A1:H21"/>
  <sheetViews>
    <sheetView workbookViewId="0">
      <selection activeCell="H4" sqref="H4"/>
    </sheetView>
  </sheetViews>
  <sheetFormatPr defaultRowHeight="14.4" x14ac:dyDescent="0.3"/>
  <cols>
    <col min="7" max="7" width="25.44140625" customWidth="1"/>
  </cols>
  <sheetData>
    <row r="1" spans="1:8" x14ac:dyDescent="0.3">
      <c r="A1" t="s">
        <v>60</v>
      </c>
      <c r="B1" t="s">
        <v>61</v>
      </c>
      <c r="C1" t="s">
        <v>64</v>
      </c>
      <c r="D1" t="s">
        <v>62</v>
      </c>
      <c r="E1" t="s">
        <v>63</v>
      </c>
    </row>
    <row r="2" spans="1:8" x14ac:dyDescent="0.3">
      <c r="A2" t="s">
        <v>26</v>
      </c>
      <c r="B2" t="s">
        <v>27</v>
      </c>
      <c r="C2" t="s">
        <v>12</v>
      </c>
      <c r="D2" t="s">
        <v>89</v>
      </c>
      <c r="E2">
        <v>0</v>
      </c>
      <c r="G2" t="s">
        <v>95</v>
      </c>
      <c r="H2">
        <f>3/10</f>
        <v>0.3</v>
      </c>
    </row>
    <row r="3" spans="1:8" x14ac:dyDescent="0.3">
      <c r="A3" t="s">
        <v>20</v>
      </c>
      <c r="B3" t="s">
        <v>21</v>
      </c>
      <c r="C3" t="s">
        <v>12</v>
      </c>
      <c r="D3" t="s">
        <v>22</v>
      </c>
      <c r="E3">
        <v>1</v>
      </c>
      <c r="G3" t="s">
        <v>96</v>
      </c>
      <c r="H3">
        <f>1/10</f>
        <v>0.1</v>
      </c>
    </row>
    <row r="4" spans="1:8" x14ac:dyDescent="0.3">
      <c r="A4" t="s">
        <v>4</v>
      </c>
      <c r="B4" t="s">
        <v>5</v>
      </c>
      <c r="C4" t="s">
        <v>2</v>
      </c>
      <c r="D4" t="s">
        <v>6</v>
      </c>
      <c r="E4">
        <v>1</v>
      </c>
    </row>
    <row r="5" spans="1:8" x14ac:dyDescent="0.3">
      <c r="A5" t="s">
        <v>38</v>
      </c>
      <c r="B5" t="s">
        <v>39</v>
      </c>
      <c r="C5" t="s">
        <v>2</v>
      </c>
      <c r="D5" t="s">
        <v>90</v>
      </c>
      <c r="E5">
        <v>0</v>
      </c>
    </row>
    <row r="6" spans="1:8" x14ac:dyDescent="0.3">
      <c r="A6" t="s">
        <v>35</v>
      </c>
      <c r="B6" t="s">
        <v>36</v>
      </c>
      <c r="C6" t="s">
        <v>12</v>
      </c>
      <c r="D6" t="s">
        <v>28</v>
      </c>
      <c r="E6">
        <v>0</v>
      </c>
    </row>
    <row r="7" spans="1:8" x14ac:dyDescent="0.3">
      <c r="A7" t="s">
        <v>45</v>
      </c>
      <c r="B7" t="s">
        <v>46</v>
      </c>
      <c r="C7" t="s">
        <v>2</v>
      </c>
      <c r="D7" t="s">
        <v>59</v>
      </c>
      <c r="E7">
        <v>0</v>
      </c>
    </row>
    <row r="8" spans="1:8" x14ac:dyDescent="0.3">
      <c r="A8" t="s">
        <v>29</v>
      </c>
      <c r="B8" t="s">
        <v>30</v>
      </c>
      <c r="C8" t="s">
        <v>2</v>
      </c>
      <c r="D8" t="s">
        <v>90</v>
      </c>
      <c r="E8">
        <v>0</v>
      </c>
    </row>
    <row r="9" spans="1:8" x14ac:dyDescent="0.3">
      <c r="A9" t="s">
        <v>54</v>
      </c>
      <c r="B9" t="s">
        <v>55</v>
      </c>
      <c r="C9" t="s">
        <v>12</v>
      </c>
      <c r="D9" t="s">
        <v>90</v>
      </c>
      <c r="E9">
        <v>0</v>
      </c>
    </row>
    <row r="10" spans="1:8" x14ac:dyDescent="0.3">
      <c r="A10" t="s">
        <v>17</v>
      </c>
      <c r="B10" t="s">
        <v>18</v>
      </c>
      <c r="C10" t="s">
        <v>12</v>
      </c>
      <c r="D10" t="s">
        <v>9</v>
      </c>
      <c r="E10">
        <v>0</v>
      </c>
    </row>
    <row r="11" spans="1:8" ht="28.8" x14ac:dyDescent="0.3">
      <c r="A11" t="s">
        <v>0</v>
      </c>
      <c r="B11" t="s">
        <v>1</v>
      </c>
      <c r="C11" t="s">
        <v>2</v>
      </c>
      <c r="D11" s="1" t="s">
        <v>91</v>
      </c>
      <c r="E11">
        <v>0</v>
      </c>
    </row>
    <row r="12" spans="1:8" x14ac:dyDescent="0.3">
      <c r="A12" t="s">
        <v>41</v>
      </c>
      <c r="B12" t="s">
        <v>42</v>
      </c>
      <c r="C12" t="s">
        <v>2</v>
      </c>
      <c r="D12" t="s">
        <v>75</v>
      </c>
      <c r="E12">
        <v>1</v>
      </c>
    </row>
    <row r="13" spans="1:8" x14ac:dyDescent="0.3">
      <c r="A13" t="s">
        <v>32</v>
      </c>
      <c r="B13" t="s">
        <v>33</v>
      </c>
      <c r="C13" t="s">
        <v>12</v>
      </c>
      <c r="D13" t="s">
        <v>77</v>
      </c>
      <c r="E13">
        <v>0</v>
      </c>
    </row>
    <row r="14" spans="1:8" x14ac:dyDescent="0.3">
      <c r="A14" t="s">
        <v>14</v>
      </c>
      <c r="B14" t="s">
        <v>15</v>
      </c>
      <c r="C14" t="s">
        <v>12</v>
      </c>
      <c r="D14" t="s">
        <v>59</v>
      </c>
      <c r="E14">
        <v>0</v>
      </c>
    </row>
    <row r="15" spans="1:8" x14ac:dyDescent="0.3">
      <c r="A15" t="s">
        <v>43</v>
      </c>
      <c r="B15" t="s">
        <v>44</v>
      </c>
      <c r="C15" t="s">
        <v>2</v>
      </c>
      <c r="D15" t="s">
        <v>92</v>
      </c>
      <c r="E15">
        <v>0</v>
      </c>
    </row>
    <row r="16" spans="1:8" x14ac:dyDescent="0.3">
      <c r="A16" t="s">
        <v>51</v>
      </c>
      <c r="B16" t="s">
        <v>52</v>
      </c>
      <c r="C16" t="s">
        <v>12</v>
      </c>
      <c r="D16" t="s">
        <v>77</v>
      </c>
      <c r="E16">
        <v>0</v>
      </c>
    </row>
    <row r="17" spans="1:5" x14ac:dyDescent="0.3">
      <c r="A17" t="s">
        <v>23</v>
      </c>
      <c r="B17" t="s">
        <v>24</v>
      </c>
      <c r="C17" t="s">
        <v>12</v>
      </c>
      <c r="D17" t="s">
        <v>93</v>
      </c>
      <c r="E17">
        <v>0</v>
      </c>
    </row>
    <row r="18" spans="1:5" x14ac:dyDescent="0.3">
      <c r="A18" t="s">
        <v>57</v>
      </c>
      <c r="B18" t="s">
        <v>58</v>
      </c>
      <c r="C18" t="s">
        <v>2</v>
      </c>
      <c r="D18" t="s">
        <v>90</v>
      </c>
      <c r="E18">
        <v>0</v>
      </c>
    </row>
    <row r="19" spans="1:5" ht="28.8" x14ac:dyDescent="0.3">
      <c r="A19" t="s">
        <v>48</v>
      </c>
      <c r="B19" t="s">
        <v>49</v>
      </c>
      <c r="C19" t="s">
        <v>2</v>
      </c>
      <c r="D19" s="1" t="s">
        <v>71</v>
      </c>
      <c r="E19">
        <v>1</v>
      </c>
    </row>
    <row r="20" spans="1:5" x14ac:dyDescent="0.3">
      <c r="A20" t="s">
        <v>10</v>
      </c>
      <c r="B20" t="s">
        <v>11</v>
      </c>
      <c r="C20" t="s">
        <v>12</v>
      </c>
      <c r="D20" t="s">
        <v>94</v>
      </c>
      <c r="E20">
        <v>0</v>
      </c>
    </row>
    <row r="21" spans="1:5" x14ac:dyDescent="0.3">
      <c r="A21" t="s">
        <v>7</v>
      </c>
      <c r="B21" t="s">
        <v>8</v>
      </c>
      <c r="C21" t="s">
        <v>2</v>
      </c>
      <c r="D21" t="s">
        <v>77</v>
      </c>
      <c r="E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D256-3AC6-49EF-B430-BE5E2DDFC5CE}">
  <dimension ref="A1:C6"/>
  <sheetViews>
    <sheetView tabSelected="1" workbookViewId="0">
      <selection activeCell="B18" sqref="B18"/>
    </sheetView>
  </sheetViews>
  <sheetFormatPr defaultRowHeight="14.4" x14ac:dyDescent="0.3"/>
  <cols>
    <col min="1" max="1" width="9.77734375" customWidth="1"/>
    <col min="2" max="2" width="19.33203125" customWidth="1"/>
    <col min="3" max="3" width="17.88671875" customWidth="1"/>
  </cols>
  <sheetData>
    <row r="1" spans="1:3" x14ac:dyDescent="0.3">
      <c r="A1" t="s">
        <v>97</v>
      </c>
      <c r="B1" t="s">
        <v>98</v>
      </c>
      <c r="C1" t="s">
        <v>99</v>
      </c>
    </row>
    <row r="2" spans="1:3" x14ac:dyDescent="0.3">
      <c r="A2">
        <v>1</v>
      </c>
      <c r="B2">
        <v>0.7</v>
      </c>
      <c r="C2">
        <v>0.6</v>
      </c>
    </row>
    <row r="3" spans="1:3" x14ac:dyDescent="0.3">
      <c r="A3">
        <v>2</v>
      </c>
      <c r="B3">
        <v>0.7</v>
      </c>
      <c r="C3">
        <v>0.4</v>
      </c>
    </row>
    <row r="4" spans="1:3" x14ac:dyDescent="0.3">
      <c r="A4">
        <v>3</v>
      </c>
      <c r="B4">
        <v>0.5</v>
      </c>
      <c r="C4">
        <v>0.2</v>
      </c>
    </row>
    <row r="5" spans="1:3" x14ac:dyDescent="0.3">
      <c r="A5">
        <v>4</v>
      </c>
      <c r="B5">
        <v>0.7</v>
      </c>
      <c r="C5">
        <v>0.8</v>
      </c>
    </row>
    <row r="6" spans="1:3" x14ac:dyDescent="0.3">
      <c r="A6">
        <v>5</v>
      </c>
      <c r="B6">
        <v>0.3</v>
      </c>
      <c r="C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001</vt:lpstr>
      <vt:lpstr>002</vt:lpstr>
      <vt:lpstr>003</vt:lpstr>
      <vt:lpstr>004</vt:lpstr>
      <vt:lpstr>005</vt:lpstr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Sheth</dc:creator>
  <cp:lastModifiedBy>Anika Sheth</cp:lastModifiedBy>
  <dcterms:created xsi:type="dcterms:W3CDTF">2025-11-24T22:33:03Z</dcterms:created>
  <dcterms:modified xsi:type="dcterms:W3CDTF">2025-11-25T01:54:20Z</dcterms:modified>
</cp:coreProperties>
</file>